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d73966379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bf013297a3b4620"/>
    <x:sheet xmlns:r="http://schemas.openxmlformats.org/officeDocument/2006/relationships" name="Watchlist" sheetId="2" r:id="R4affdf5bb1614ae2"/>
    <x:sheet xmlns:r="http://schemas.openxmlformats.org/officeDocument/2006/relationships" name="Metrics data" sheetId="3" r:id="R795994412cd24b39"/>
    <x:sheet xmlns:r="http://schemas.openxmlformats.org/officeDocument/2006/relationships" name="Read me" sheetId="4" r:id="R0590ed54d752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0.0%"/>
    <x:numFmt numFmtId="203" formatCode="0.0x"/>
  </x:numFmts>
  <x:fonts count="7">
    <x:font>
      <x:sz val="11"/>
      <x:name val="Carlito"/>
    </x:font>
    <x:font>
      <x:b/>
      <x:sz val="16"/>
      <x:color rgb="FF1F4E78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200" fontId="5" fillId="4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0" fontId="6" fillId="3" borderId="0" xfId="0" applyNumberFormat="1" applyFont="1" applyFill="1" applyBorder="1"/>
    <x:xf numFmtId="201" fontId="6" fillId="3" borderId="0" xfId="0" applyNumberFormat="1" applyFont="1" applyFill="1" applyBorder="1"/>
    <x:xf numFmtId="0" fontId="4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d45ebaa984dab" /><Relationship Type="http://schemas.openxmlformats.org/officeDocument/2006/relationships/theme" Target="/xl/theme/theme1.xml" Id="R576560ea799b4312" /><Relationship Type="http://schemas.openxmlformats.org/officeDocument/2006/relationships/sharedStrings" Target="/xl/sharedStrings.xml" Id="R6ac46ee993824ae7" /><Relationship Type="http://schemas.openxmlformats.org/officeDocument/2006/relationships/worksheet" Target="/xl/worksheets/sheet1.xml" Id="Rdbf013297a3b4620" /><Relationship Type="http://schemas.openxmlformats.org/officeDocument/2006/relationships/worksheet" Target="/xl/worksheets/sheet2.xml" Id="R4affdf5bb1614ae2" /><Relationship Type="http://schemas.openxmlformats.org/officeDocument/2006/relationships/worksheet" Target="/xl/worksheets/sheet3.xml" Id="R795994412cd24b39" /><Relationship Type="http://schemas.openxmlformats.org/officeDocument/2006/relationships/worksheet" Target="/xl/worksheets/sheet4.xml" Id="R0590ed54d75249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95" hidden="0" customWidth="1"/>
    <x:col min="4" max="4" width="27" hidden="0" customWidth="1"/>
    <x:col min="6" max="6" width="13" hidden="0" customWidth="1"/>
    <x:col min="7" max="7" width="28" hidden="0" customWidth="1"/>
    <x:col min="8" max="8" width="27" hidden="0" customWidth="1"/>
  </x:cols>
  <x:sheetData>
    <x:row r="1" ht="8" customHeight="1"/>
    <x:row r="2">
      <x:c r="A2" s="1" t="str">
        <x:v>Rating Drift Detector</x:v>
      </x:c>
    </x:row>
    <x:row r="3">
      <x:c r="A3" s="2" t="str">
        <x:v>Credit-surveillance summary | Sample data | Latest quarter: 2025-Q4</x:v>
      </x:c>
    </x:row>
    <x:row r="5">
      <x:c r="A5" s="6" t="str">
        <x:v>Metric</x:v>
      </x:c>
      <x:c r="B5" s="6" t="str">
        <x:v>Value</x:v>
      </x:c>
      <x:c r="D5" s="6" t="str">
        <x:v>Company</x:v>
      </x:c>
      <x:c r="E5" s="6" t="str">
        <x:v>Risk score</x:v>
      </x:c>
      <x:c r="F5" s="6" t="str">
        <x:v>Risk band</x:v>
      </x:c>
      <x:c r="G5" s="6" t="str">
        <x:v>Key credit signal</x:v>
      </x:c>
      <x:c r="H5" s="6" t="str">
        <x:v>Analyst action</x:v>
      </x:c>
    </x:row>
    <x:row r="6">
      <x:c r="A6" s="8" t="str">
        <x:v>Companies monitored</x:v>
      </x:c>
      <x:c r="B6" s="11" t="n">
        <x:f>COUNTA('Metrics data'!A4:A9)</x:f>
        <x:v>6</x:v>
      </x:c>
      <x:c r="D6" t="str">
        <x:v>Evergreen Forgings</x:v>
      </x:c>
      <x:c r="E6" s="13" t="n">
        <x:v>100</x:v>
      </x:c>
      <x:c r="F6" t="str">
        <x:v>High</x:v>
      </x:c>
      <x:c r="G6" t="str">
        <x:v>High leverage; Weak debt protection; Liquidity below 1.0x; Receivables stretched; Weak cash conversion</x:v>
      </x:c>
      <x:c r="H6" t="str">
        <x:v>Review at next credit committee</x:v>
      </x:c>
    </x:row>
    <x:row r="7">
      <x:c r="A7" s="8" t="str">
        <x:v>High-risk companies</x:v>
      </x:c>
      <x:c r="B7" s="11" t="n">
        <x:f>COUNTIF('Metrics data'!J4:J9,"High")</x:f>
        <x:v>2</x:v>
      </x:c>
      <x:c r="D7" t="str">
        <x:v>Bharat Gearworks</x:v>
      </x:c>
      <x:c r="E7" s="13" t="n">
        <x:v>90</x:v>
      </x:c>
      <x:c r="F7" t="str">
        <x:v>High</x:v>
      </x:c>
      <x:c r="G7" t="str">
        <x:v>High leverage; Weak debt protection; Tight liquidity; Receivables stretched; Weak cash conversion</x:v>
      </x:c>
      <x:c r="H7" t="str">
        <x:v>Review at next credit committee</x:v>
      </x:c>
    </x:row>
    <x:row r="8">
      <x:c r="A8" s="8" t="str">
        <x:v>Average risk score</x:v>
      </x:c>
      <x:c r="B8" s="12" t="n">
        <x:f>AVERAGE('Metrics data'!I4:I9)</x:f>
        <x:v>45.666666666666664</x:v>
      </x:c>
      <x:c r="D8" t="str">
        <x:v>Delta Motion Systems</x:v>
      </x:c>
      <x:c r="E8" s="13" t="n">
        <x:v>30</x:v>
      </x:c>
      <x:c r="F8" t="str">
        <x:v>Moderate</x:v>
      </x:c>
      <x:c r="G8" t="str">
        <x:v>High leverage</x:v>
      </x:c>
      <x:c r="H8" t="str">
        <x:v>Add to quarterly watchlist</x:v>
      </x:c>
    </x:row>
    <x:row r="9">
      <x:c r="D9" t="str">
        <x:v>Aarohan Auto Components</x:v>
      </x:c>
      <x:c r="E9" s="13" t="n">
        <x:v>18</x:v>
      </x:c>
      <x:c r="F9" t="str">
        <x:v>Low</x:v>
      </x:c>
      <x:c r="G9" t="str">
        <x:v>Leverage rising</x:v>
      </x:c>
      <x:c r="H9" t="str">
        <x:v>Continue routine monitoring</x:v>
      </x:c>
    </x:row>
    <x:row r="10">
      <x:c r="D10" t="str">
        <x:v>Crestline Bearings</x:v>
      </x:c>
      <x:c r="E10" s="13" t="n">
        <x:v>18</x:v>
      </x:c>
      <x:c r="F10" t="str">
        <x:v>Low</x:v>
      </x:c>
      <x:c r="G10" t="str">
        <x:v>Leverage rising</x:v>
      </x:c>
      <x:c r="H10" t="str">
        <x:v>Continue routine monitoring</x:v>
      </x:c>
    </x:row>
    <x:row r="11">
      <x:c r="A11" s="15" t="str">
        <x:v>How to read the score</x:v>
      </x:c>
      <x:c r="B11" s="15" t="str"/>
      <x:c r="C11" s="15" t="str"/>
      <x:c r="D11" s="15" t="str"/>
      <x:c r="E11" s="16" t="str"/>
      <x:c r="F11" s="15" t="str"/>
      <x:c r="G11" s="15" t="str"/>
      <x:c r="H11" s="15" t="str"/>
    </x:row>
    <x:row r="12">
      <x:c r="A12" s="17" t="str">
        <x:v>High (45+)</x:v>
      </x:c>
      <x:c r="B12" t="str">
        <x:v>Immediate analyst review: leverage, coverage, liquidity or cash conversion has weakened materially.</x:v>
      </x:c>
    </x:row>
    <x:row r="13">
      <x:c r="A13" s="17" t="str">
        <x:v>Moderate (20–44)</x:v>
      </x:c>
      <x:c r="B13" t="str">
        <x:v>Include in the quarterly surveillance pack and monitor the stated risk drivers.</x:v>
      </x:c>
    </x:row>
    <x:row r="14">
      <x:c r="A14" s="17" t="str">
        <x:v>Low (&lt;20)</x:v>
      </x:c>
      <x:c r="B14" t="str">
        <x:v>No material quantitative signal in this period. Continue normal monitoring.</x:v>
      </x:c>
    </x:row>
  </x:sheetData>
  <x:conditionalFormatting sqref="E6:E11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6" hidden="0" customWidth="1"/>
    <x:col min="5" max="5" width="17" hidden="0" customWidth="1"/>
    <x:col min="6" max="6" width="19" hidden="0" customWidth="1"/>
    <x:col min="7" max="7" width="15" hidden="0" customWidth="1"/>
    <x:col min="8" max="8" width="17" hidden="0" customWidth="1"/>
    <x:col min="9" max="9" width="17" hidden="0" customWidth="1"/>
    <x:col min="10" max="10" width="13" hidden="0" customWidth="1"/>
    <x:col min="11" max="11" width="14" hidden="0" customWidth="1"/>
    <x:col min="12" max="12" width="38" hidden="0" customWidth="1"/>
  </x:cols>
  <x:sheetData>
    <x:row r="2">
      <x:c r="A2" s="1" t="str">
        <x:v>Company watchlist and peer metrics</x:v>
      </x:c>
    </x:row>
    <x:row r="4">
      <x:c r="A4" s="6" t="str">
        <x:v>Company</x:v>
      </x:c>
      <x:c r="B4" s="6" t="str">
        <x:v>Sector</x:v>
      </x:c>
      <x:c r="C4" s="6" t="str">
        <x:v>Quarter</x:v>
      </x:c>
      <x:c r="D4" s="6" t="str">
        <x:v>Revenue growth</x:v>
      </x:c>
      <x:c r="E4" s="6" t="str">
        <x:v>Debt / EBITDA</x:v>
      </x:c>
      <x:c r="F4" s="6" t="str">
        <x:v>Interest coverage</x:v>
      </x:c>
      <x:c r="G4" s="6" t="str">
        <x:v>Current ratio</x:v>
      </x:c>
      <x:c r="H4" s="6" t="str">
        <x:v>Receivable days</x:v>
      </x:c>
      <x:c r="I4" s="6" t="str">
        <x:v>Cash conversion</x:v>
      </x:c>
      <x:c r="J4" s="6" t="str">
        <x:v>Risk score</x:v>
      </x:c>
      <x:c r="K4" s="6" t="str">
        <x:v>Risk band</x:v>
      </x:c>
      <x:c r="L4" s="6" t="str">
        <x:v>Credit flags</x:v>
      </x:c>
    </x:row>
    <x:row r="5">
      <x:c r="A5" t="str">
        <x:v>Evergreen Forgings</x:v>
      </x:c>
      <x:c r="B5" t="str">
        <x:v>Auto Components</x:v>
      </x:c>
      <x:c r="C5" t="str">
        <x:v>2025-Q4</x:v>
      </x:c>
      <x:c r="D5" s="18" t="n">
        <x:v>-0.048</x:v>
      </x:c>
      <x:c r="E5" s="19" t="n">
        <x:v>9.706</x:v>
      </x:c>
      <x:c r="F5" s="19" t="n">
        <x:v>1.478</x:v>
      </x:c>
      <x:c r="G5" s="19" t="n">
        <x:v>0.948</x:v>
      </x:c>
      <x:c r="H5" s="20" t="n">
        <x:v>43.136</x:v>
      </x:c>
      <x:c r="I5" s="18" t="n">
        <x:v>0.118</x:v>
      </x:c>
      <x:c r="J5" t="n">
        <x:v>100</x:v>
      </x:c>
      <x:c r="K5" t="str">
        <x:v>High</x:v>
      </x:c>
      <x:c r="L5" t="str">
        <x:v>High leverage; Weak debt protection; Liquidity below 1.0x; Receivables stretched; Weak cash conversion</x:v>
      </x:c>
    </x:row>
    <x:row r="6">
      <x:c r="A6" t="str">
        <x:v>Bharat Gearworks</x:v>
      </x:c>
      <x:c r="B6" t="str">
        <x:v>Auto Components</x:v>
      </x:c>
      <x:c r="C6" t="str">
        <x:v>2025-Q4</x:v>
      </x:c>
      <x:c r="D6" s="18" t="n">
        <x:v>-0.043</x:v>
      </x:c>
      <x:c r="E6" s="19" t="n">
        <x:v>8.81</x:v>
      </x:c>
      <x:c r="F6" s="19" t="n">
        <x:v>1.75</x:v>
      </x:c>
      <x:c r="G6" s="19" t="n">
        <x:v>1.014</x:v>
      </x:c>
      <x:c r="H6" s="20" t="n">
        <x:v>40.5</x:v>
      </x:c>
      <x:c r="I6" s="18" t="n">
        <x:v>0.19</x:v>
      </x:c>
      <x:c r="J6" t="n">
        <x:v>90</x:v>
      </x:c>
      <x:c r="K6" t="str">
        <x:v>High</x:v>
      </x:c>
      <x:c r="L6" t="str">
        <x:v>High leverage; Weak debt protection; Tight liquidity; Receivables stretched; Weak cash conversion</x:v>
      </x:c>
    </x:row>
    <x:row r="7">
      <x:c r="A7" t="str">
        <x:v>Delta Motion Systems</x:v>
      </x:c>
      <x:c r="B7" t="str">
        <x:v>Auto Components</x:v>
      </x:c>
      <x:c r="C7" t="str">
        <x:v>2025-Q4</x:v>
      </x:c>
      <x:c r="D7" s="18" t="n">
        <x:v>0.082</x:v>
      </x:c>
      <x:c r="E7" s="19" t="n">
        <x:v>4.25</x:v>
      </x:c>
      <x:c r="F7" s="19" t="n">
        <x:v>5.882</x:v>
      </x:c>
      <x:c r="G7" s="19" t="n">
        <x:v>1.559</x:v>
      </x:c>
      <x:c r="H7" s="20" t="n">
        <x:v>29.182</x:v>
      </x:c>
      <x:c r="I7" s="18" t="n">
        <x:v>0.68</x:v>
      </x:c>
      <x:c r="J7" t="n">
        <x:v>30</x:v>
      </x:c>
      <x:c r="K7" t="str">
        <x:v>Moderate</x:v>
      </x:c>
      <x:c r="L7" t="str">
        <x:v>High leverage</x:v>
      </x:c>
    </x:row>
    <x:row r="8">
      <x:c r="A8" t="str">
        <x:v>Aarohan Auto Components</x:v>
      </x:c>
      <x:c r="B8" t="str">
        <x:v>Auto Components</x:v>
      </x:c>
      <x:c r="C8" t="str">
        <x:v>2025-Q4</x:v>
      </x:c>
      <x:c r="D8" s="18" t="n">
        <x:v>0.098</x:v>
      </x:c>
      <x:c r="E8" s="19" t="n">
        <x:v>4</x:v>
      </x:c>
      <x:c r="F8" s="19" t="n">
        <x:v>6.154</x:v>
      </x:c>
      <x:c r="G8" s="19" t="n">
        <x:v>1.5</x:v>
      </x:c>
      <x:c r="H8" s="20" t="n">
        <x:v>27.804</x:v>
      </x:c>
      <x:c r="I8" s="18" t="n">
        <x:v>0.637</x:v>
      </x:c>
      <x:c r="J8" t="n">
        <x:v>18</x:v>
      </x:c>
      <x:c r="K8" t="str">
        <x:v>Low</x:v>
      </x:c>
      <x:c r="L8" t="str">
        <x:v>Leverage rising</x:v>
      </x:c>
    </x:row>
    <x:row r="9">
      <x:c r="A9" t="str">
        <x:v>Crestline Bearings</x:v>
      </x:c>
      <x:c r="B9" t="str">
        <x:v>Auto Components</x:v>
      </x:c>
      <x:c r="C9" t="str">
        <x:v>2025-Q4</x:v>
      </x:c>
      <x:c r="D9" s="18" t="n">
        <x:v>0.103</x:v>
      </x:c>
      <x:c r="E9" s="19" t="n">
        <x:v>3.082</x:v>
      </x:c>
      <x:c r="F9" s="19" t="n">
        <x:v>7.625</x:v>
      </x:c>
      <x:c r="G9" s="19" t="n">
        <x:v>1.618</x:v>
      </x:c>
      <x:c r="H9" s="20" t="n">
        <x:v>26.581</x:v>
      </x:c>
      <x:c r="I9" s="18" t="n">
        <x:v>0.754</x:v>
      </x:c>
      <x:c r="J9" t="n">
        <x:v>18</x:v>
      </x:c>
      <x:c r="K9" t="str">
        <x:v>Low</x:v>
      </x:c>
      <x:c r="L9" t="str">
        <x:v>Leverage rising</x:v>
      </x:c>
    </x:row>
    <x:row r="10">
      <x:c r="A10" t="str">
        <x:v>Frontier Driveline</x:v>
      </x:c>
      <x:c r="B10" t="str">
        <x:v>Auto Components</x:v>
      </x:c>
      <x:c r="C10" t="str">
        <x:v>2025-Q4</x:v>
      </x:c>
      <x:c r="D10" s="18" t="n">
        <x:v>0.072</x:v>
      </x:c>
      <x:c r="E10" s="19" t="n">
        <x:v>3.622</x:v>
      </x:c>
      <x:c r="F10" s="19" t="n">
        <x:v>6.167</x:v>
      </x:c>
      <x:c r="G10" s="19" t="n">
        <x:v>1.547</x:v>
      </x:c>
      <x:c r="H10" s="20" t="n">
        <x:v>27.346</x:v>
      </x:c>
      <x:c r="I10" s="18" t="n">
        <x:v>0.649</x:v>
      </x:c>
      <x:c r="J10" t="n">
        <x:v>18</x:v>
      </x:c>
      <x:c r="K10" t="str">
        <x:v>Low</x:v>
      </x:c>
      <x:c r="L10" t="str">
        <x:v>Leverage rising</x:v>
      </x:c>
    </x:row>
    <x:row r="13">
      <x:c r="A13" s="6" t="str">
        <x:v>Peer benchmark</x:v>
      </x:c>
      <x:c r="B13" s="6" t="str">
        <x:v>Average Debt / EBITDA</x:v>
      </x:c>
      <x:c r="C13" s="6" t="str">
        <x:v>Average interest coverage</x:v>
      </x:c>
      <x:c r="D13" s="6" t="str">
        <x:v>Average risk score</x:v>
      </x:c>
    </x:row>
    <x:row r="14">
      <x:c r="A14" t="str">
        <x:v>Auto Components</x:v>
      </x:c>
      <x:c r="B14" s="19" t="n">
        <x:f>AVERAGE(E5:E10)</x:f>
        <x:v>5.578333333333333</x:v>
      </x:c>
      <x:c r="C14" s="19" t="n">
        <x:f>AVERAGE(F5:F10)</x:f>
        <x:v>4.842666666666666</x:v>
      </x:c>
      <x:c r="D14" s="20" t="n">
        <x:f>AVERAGE(J5:J10)</x:f>
        <x:v>45.666666666666664</x:v>
      </x:c>
    </x:row>
  </x:sheetData>
  <x:conditionalFormatting sqref="J5:J10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3" max="13" width="55" hidden="0" customWidth="1"/>
  </x:cols>
  <x:sheetData>
    <x:row r="2">
      <x:c r="A2" s="1" t="str">
        <x:v>Latest credit metrics (pipeline output)</x:v>
      </x:c>
    </x:row>
    <x:row r="3">
      <x:c r="A3" s="6" t="str">
        <x:v>Company ID</x:v>
      </x:c>
      <x:c r="B3" s="6" t="str">
        <x:v>Quarter</x:v>
      </x:c>
      <x:c r="C3" s="6" t="str">
        <x:v>Revenue growth</x:v>
      </x:c>
      <x:c r="D3" s="6" t="str">
        <x:v>Debt / EBITDA</x:v>
      </x:c>
      <x:c r="E3" s="6" t="str">
        <x:v>Interest coverage</x:v>
      </x:c>
      <x:c r="F3" s="6" t="str">
        <x:v>Current ratio</x:v>
      </x:c>
      <x:c r="G3" s="6" t="str">
        <x:v>Receivable days</x:v>
      </x:c>
      <x:c r="H3" s="6" t="str">
        <x:v>Cash conversion</x:v>
      </x:c>
      <x:c r="I3" s="6" t="str">
        <x:v>Risk score</x:v>
      </x:c>
      <x:c r="J3" s="6" t="str">
        <x:v>Risk band</x:v>
      </x:c>
      <x:c r="K3" s="6" t="str">
        <x:v>Credit flags</x:v>
      </x:c>
      <x:c r="M3" t="str">
        <x:v>Source note</x:v>
      </x:c>
    </x:row>
    <x:row r="4">
      <x:c r="A4" t="str">
        <x:v>C005</x:v>
      </x:c>
      <x:c r="B4" t="str">
        <x:v>2025-Q4</x:v>
      </x:c>
      <x:c r="C4" s="18" t="n">
        <x:v>-0.048</x:v>
      </x:c>
      <x:c r="D4" s="19" t="n">
        <x:v>9.706</x:v>
      </x:c>
      <x:c r="E4" s="19" t="n">
        <x:v>1.478</x:v>
      </x:c>
      <x:c r="F4" s="19" t="n">
        <x:v>0.948</x:v>
      </x:c>
      <x:c r="G4" s="20" t="n">
        <x:v>43.136</x:v>
      </x:c>
      <x:c r="H4" s="18" t="n">
        <x:v>0.118</x:v>
      </x:c>
      <x:c r="I4" t="n">
        <x:v>100</x:v>
      </x:c>
      <x:c r="J4" t="str">
        <x:v>High</x:v>
      </x:c>
      <x:c r="K4" t="str">
        <x:v>High leverage; Weak debt protection; Liquidity below 1.0x; Receivables stretched; Weak cash conversion</x:v>
      </x:c>
      <x:c r="M4" s="21" t="str">
        <x:v>Synthetic demonstration data. Replace with cited NSE filings and public rating rationales for a live-company version.</x:v>
      </x:c>
    </x:row>
    <x:row r="5">
      <x:c r="A5" t="str">
        <x:v>C002</x:v>
      </x:c>
      <x:c r="B5" t="str">
        <x:v>2025-Q4</x:v>
      </x:c>
      <x:c r="C5" s="18" t="n">
        <x:v>-0.043</x:v>
      </x:c>
      <x:c r="D5" s="19" t="n">
        <x:v>8.81</x:v>
      </x:c>
      <x:c r="E5" s="19" t="n">
        <x:v>1.75</x:v>
      </x:c>
      <x:c r="F5" s="19" t="n">
        <x:v>1.014</x:v>
      </x:c>
      <x:c r="G5" s="20" t="n">
        <x:v>40.5</x:v>
      </x:c>
      <x:c r="H5" s="18" t="n">
        <x:v>0.19</x:v>
      </x:c>
      <x:c r="I5" t="n">
        <x:v>90</x:v>
      </x:c>
      <x:c r="J5" t="str">
        <x:v>High</x:v>
      </x:c>
      <x:c r="K5" t="str">
        <x:v>High leverage; Weak debt protection; Tight liquidity; Receivables stretched; Weak cash conversion</x:v>
      </x:c>
    </x:row>
    <x:row r="6">
      <x:c r="A6" t="str">
        <x:v>C004</x:v>
      </x:c>
      <x:c r="B6" t="str">
        <x:v>2025-Q4</x:v>
      </x:c>
      <x:c r="C6" s="18" t="n">
        <x:v>0.082</x:v>
      </x:c>
      <x:c r="D6" s="19" t="n">
        <x:v>4.25</x:v>
      </x:c>
      <x:c r="E6" s="19" t="n">
        <x:v>5.882</x:v>
      </x:c>
      <x:c r="F6" s="19" t="n">
        <x:v>1.559</x:v>
      </x:c>
      <x:c r="G6" s="20" t="n">
        <x:v>29.182</x:v>
      </x:c>
      <x:c r="H6" s="18" t="n">
        <x:v>0.68</x:v>
      </x:c>
      <x:c r="I6" t="n">
        <x:v>30</x:v>
      </x:c>
      <x:c r="J6" t="str">
        <x:v>Moderate</x:v>
      </x:c>
      <x:c r="K6" t="str">
        <x:v>High leverage</x:v>
      </x:c>
    </x:row>
    <x:row r="7">
      <x:c r="A7" t="str">
        <x:v>C001</x:v>
      </x:c>
      <x:c r="B7" t="str">
        <x:v>2025-Q4</x:v>
      </x:c>
      <x:c r="C7" s="18" t="n">
        <x:v>0.098</x:v>
      </x:c>
      <x:c r="D7" s="19" t="n">
        <x:v>4</x:v>
      </x:c>
      <x:c r="E7" s="19" t="n">
        <x:v>6.154</x:v>
      </x:c>
      <x:c r="F7" s="19" t="n">
        <x:v>1.5</x:v>
      </x:c>
      <x:c r="G7" s="20" t="n">
        <x:v>27.804</x:v>
      </x:c>
      <x:c r="H7" s="18" t="n">
        <x:v>0.637</x:v>
      </x:c>
      <x:c r="I7" t="n">
        <x:v>18</x:v>
      </x:c>
      <x:c r="J7" t="str">
        <x:v>Low</x:v>
      </x:c>
      <x:c r="K7" t="str">
        <x:v>Leverage rising</x:v>
      </x:c>
    </x:row>
    <x:row r="8">
      <x:c r="A8" t="str">
        <x:v>C003</x:v>
      </x:c>
      <x:c r="B8" t="str">
        <x:v>2025-Q4</x:v>
      </x:c>
      <x:c r="C8" s="18" t="n">
        <x:v>0.103</x:v>
      </x:c>
      <x:c r="D8" s="19" t="n">
        <x:v>3.082</x:v>
      </x:c>
      <x:c r="E8" s="19" t="n">
        <x:v>7.625</x:v>
      </x:c>
      <x:c r="F8" s="19" t="n">
        <x:v>1.618</x:v>
      </x:c>
      <x:c r="G8" s="20" t="n">
        <x:v>26.581</x:v>
      </x:c>
      <x:c r="H8" s="18" t="n">
        <x:v>0.754</x:v>
      </x:c>
      <x:c r="I8" t="n">
        <x:v>18</x:v>
      </x:c>
      <x:c r="J8" t="str">
        <x:v>Low</x:v>
      </x:c>
      <x:c r="K8" t="str">
        <x:v>Leverage rising</x:v>
      </x:c>
    </x:row>
    <x:row r="9">
      <x:c r="A9" t="str">
        <x:v>C006</x:v>
      </x:c>
      <x:c r="B9" t="str">
        <x:v>2025-Q4</x:v>
      </x:c>
      <x:c r="C9" s="18" t="n">
        <x:v>0.072</x:v>
      </x:c>
      <x:c r="D9" s="19" t="n">
        <x:v>3.622</x:v>
      </x:c>
      <x:c r="E9" s="19" t="n">
        <x:v>6.167</x:v>
      </x:c>
      <x:c r="F9" s="19" t="n">
        <x:v>1.547</x:v>
      </x:c>
      <x:c r="G9" s="20" t="n">
        <x:v>27.346</x:v>
      </x:c>
      <x:c r="H9" s="18" t="n">
        <x:v>0.649</x:v>
      </x:c>
      <x:c r="I9" t="n">
        <x:v>18</x:v>
      </x:c>
      <x:c r="J9" t="str">
        <x:v>Low</x:v>
      </x:c>
      <x:c r="K9" t="str">
        <x:v>Leverage rising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85" hidden="0" customWidth="1"/>
  </x:cols>
  <x:sheetData>
    <x:row r="2">
      <x:c r="A2" s="1" t="str">
        <x:v>Workbook guide</x:v>
      </x:c>
    </x:row>
    <x:row r="4">
      <x:c r="A4" s="6" t="str">
        <x:v>Section</x:v>
      </x:c>
      <x:c r="B4" s="6" t="str">
        <x:v>Purpose</x:v>
      </x:c>
    </x:row>
    <x:row r="5">
      <x:c r="A5" s="8" t="str">
        <x:v>Dashboard</x:v>
      </x:c>
      <x:c r="B5" s="21" t="str">
        <x:v>Credit-surveillance summary and prioritised analyst actions.</x:v>
      </x:c>
    </x:row>
    <x:row r="6">
      <x:c r="A6" s="8" t="str">
        <x:v>Watchlist</x:v>
      </x:c>
      <x:c r="B6" s="21" t="str">
        <x:v>Peer metrics, risk flags and company-level review view.</x:v>
      </x:c>
    </x:row>
    <x:row r="7">
      <x:c r="A7" s="8" t="str">
        <x:v>Metrics data</x:v>
      </x:c>
      <x:c r="B7" s="21" t="str">
        <x:v>Latest output from the Python scoring pipeline.</x:v>
      </x:c>
    </x:row>
    <x:row r="8">
      <x:c r="A8" s="8" t="str">
        <x:v>Method</x:v>
      </x:c>
      <x:c r="B8" s="21" t="str">
        <x:v>The score adds points for leverage, weak interest coverage, tight liquidity, stretched receivables and weak cash conversion.</x:v>
      </x:c>
    </x:row>
    <x:row r="9">
      <x:c r="A9" s="8" t="str">
        <x:v>Limitation</x:v>
      </x:c>
      <x:c r="B9" s="21" t="str">
        <x:v>A triage tool for learning. It is not a rating opinion or a substitute for analyst judgement.</x:v>
      </x:c>
    </x:row>
  </x:sheetData>
  <x:pageMargins left="0.7" right="0.7" top="0.75" bottom="0.75" header="0.3" footer="0.3"/>
</x:worksheet>
</file>